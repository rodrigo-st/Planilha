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\Desktop\Aula de Excel\"/>
    </mc:Choice>
  </mc:AlternateContent>
  <xr:revisionPtr revIDLastSave="0" documentId="13_ncr:1_{26FCCEA4-DCB9-4BA4-B865-E7CAFEBED5FA}" xr6:coauthVersionLast="47" xr6:coauthVersionMax="47" xr10:uidLastSave="{00000000-0000-0000-0000-000000000000}"/>
  <bookViews>
    <workbookView xWindow="-120" yWindow="-120" windowWidth="29040" windowHeight="15840" xr2:uid="{826B823D-3209-487C-9EC0-453820516B6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1" l="1"/>
  <c r="G12" i="1"/>
  <c r="C17" i="1" s="1"/>
  <c r="C20" i="1" s="1"/>
  <c r="C16" i="1" l="1"/>
  <c r="C19" i="1" s="1"/>
  <c r="F17" i="1" s="1"/>
</calcChain>
</file>

<file path=xl/sharedStrings.xml><?xml version="1.0" encoding="utf-8"?>
<sst xmlns="http://schemas.openxmlformats.org/spreadsheetml/2006/main" count="22" uniqueCount="18">
  <si>
    <t xml:space="preserve"> </t>
  </si>
  <si>
    <t>Aporte Mensal:</t>
  </si>
  <si>
    <t>Investimentos</t>
  </si>
  <si>
    <t>Saldo inicial :</t>
  </si>
  <si>
    <t>Tempo (meses):</t>
  </si>
  <si>
    <t>Dados da caixinha:</t>
  </si>
  <si>
    <t>Rendimento:</t>
  </si>
  <si>
    <t>Taxa Selic:</t>
  </si>
  <si>
    <t>%</t>
  </si>
  <si>
    <t>CDI anual:</t>
  </si>
  <si>
    <t>Calculos:</t>
  </si>
  <si>
    <t xml:space="preserve">Taxa diária: </t>
  </si>
  <si>
    <t>Dias úteis:</t>
  </si>
  <si>
    <t>Valor total sem a portes</t>
  </si>
  <si>
    <t>Valor com aporte</t>
  </si>
  <si>
    <t>Taxa Mensal</t>
  </si>
  <si>
    <t>VALOR TOTAL</t>
  </si>
  <si>
    <t xml:space="preserve">*OBS: Essa planilha não conta com o cálculo dos impostos aplicados ao dinehiro investido!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</si>
</sst>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5" formatCode="0.0"/>
    <numFmt numFmtId="170" formatCode="0.000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0" fillId="3" borderId="1" xfId="0" applyFill="1" applyBorder="1"/>
    <xf numFmtId="0" fontId="0" fillId="2" borderId="3" xfId="0" applyFill="1" applyBorder="1" applyAlignment="1">
      <alignment horizontal="center"/>
    </xf>
    <xf numFmtId="0" fontId="0" fillId="0" borderId="2" xfId="0" applyBorder="1"/>
    <xf numFmtId="0" fontId="0" fillId="4" borderId="3" xfId="0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0" xfId="0" applyBorder="1"/>
    <xf numFmtId="0" fontId="3" fillId="2" borderId="1" xfId="0" applyFont="1" applyFill="1" applyBorder="1" applyAlignment="1">
      <alignment horizontal="center" vertical="center"/>
    </xf>
    <xf numFmtId="44" fontId="4" fillId="0" borderId="1" xfId="1" applyFont="1" applyBorder="1" applyAlignment="1">
      <alignment horizontal="center" vertical="center"/>
    </xf>
    <xf numFmtId="170" fontId="0" fillId="0" borderId="1" xfId="0" applyNumberFormat="1" applyBorder="1"/>
    <xf numFmtId="165" fontId="0" fillId="0" borderId="1" xfId="0" applyNumberFormat="1" applyBorder="1"/>
    <xf numFmtId="0" fontId="5" fillId="0" borderId="0" xfId="0" applyFont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9526</xdr:colOff>
      <xdr:row>1</xdr:row>
      <xdr:rowOff>47625</xdr:rowOff>
    </xdr:from>
    <xdr:to>
      <xdr:col>8</xdr:col>
      <xdr:colOff>1</xdr:colOff>
      <xdr:row>7</xdr:row>
      <xdr:rowOff>28575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72BA4D6C-C4FD-CCAC-7E32-4DCDBB994501}"/>
            </a:ext>
          </a:extLst>
        </xdr:cNvPr>
        <xdr:cNvSpPr/>
      </xdr:nvSpPr>
      <xdr:spPr>
        <a:xfrm>
          <a:off x="619126" y="238125"/>
          <a:ext cx="4724400" cy="1123950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480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pt-BR" sz="4800" baseline="0"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pt-BR" sz="4000" b="1">
              <a:latin typeface="Arial" panose="020B0604020202020204" pitchFamily="34" charset="0"/>
              <a:cs typeface="Arial" panose="020B0604020202020204" pitchFamily="34" charset="0"/>
            </a:rPr>
            <a:t>CAIXINHAS</a:t>
          </a:r>
        </a:p>
      </xdr:txBody>
    </xdr:sp>
    <xdr:clientData/>
  </xdr:twoCellAnchor>
  <xdr:twoCellAnchor editAs="absolute">
    <xdr:from>
      <xdr:col>5</xdr:col>
      <xdr:colOff>1009650</xdr:colOff>
      <xdr:row>2</xdr:row>
      <xdr:rowOff>66675</xdr:rowOff>
    </xdr:from>
    <xdr:to>
      <xdr:col>6</xdr:col>
      <xdr:colOff>685800</xdr:colOff>
      <xdr:row>6</xdr:row>
      <xdr:rowOff>28575</xdr:rowOff>
    </xdr:to>
    <xdr:pic>
      <xdr:nvPicPr>
        <xdr:cNvPr id="4" name="Gráfico 3" descr="Cofrinho com preenchimento sólido">
          <a:extLst>
            <a:ext uri="{FF2B5EF4-FFF2-40B4-BE49-F238E27FC236}">
              <a16:creationId xmlns:a16="http://schemas.microsoft.com/office/drawing/2014/main" id="{09956E2C-81A9-8A76-A8F1-1E643E94A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352925" y="447675"/>
          <a:ext cx="723900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EC0B9-5755-4125-AC11-233ACC4EA445}">
  <dimension ref="B9:H23"/>
  <sheetViews>
    <sheetView showGridLines="0" tabSelected="1" workbookViewId="0">
      <selection activeCell="C13" sqref="C13"/>
    </sheetView>
  </sheetViews>
  <sheetFormatPr defaultRowHeight="15" x14ac:dyDescent="0.25"/>
  <cols>
    <col min="2" max="2" width="21" customWidth="1"/>
    <col min="3" max="3" width="9.7109375" customWidth="1"/>
    <col min="4" max="5" width="5.140625" customWidth="1"/>
    <col min="6" max="6" width="15.7109375" customWidth="1"/>
    <col min="7" max="7" width="12" customWidth="1"/>
    <col min="8" max="8" width="2.28515625" customWidth="1"/>
    <col min="9" max="9" width="8.140625" customWidth="1"/>
    <col min="12" max="12" width="9.28515625" customWidth="1"/>
  </cols>
  <sheetData>
    <row r="9" spans="2:8" ht="15.75" x14ac:dyDescent="0.25">
      <c r="B9" s="7" t="s">
        <v>2</v>
      </c>
      <c r="C9" s="7"/>
      <c r="F9" s="7" t="s">
        <v>5</v>
      </c>
      <c r="G9" s="8"/>
      <c r="H9" s="4"/>
    </row>
    <row r="10" spans="2:8" x14ac:dyDescent="0.25">
      <c r="B10" s="3" t="s">
        <v>3</v>
      </c>
      <c r="C10" s="1">
        <v>5000</v>
      </c>
      <c r="F10" s="3" t="s">
        <v>6</v>
      </c>
      <c r="G10" s="5">
        <v>100</v>
      </c>
      <c r="H10" s="6" t="s">
        <v>8</v>
      </c>
    </row>
    <row r="11" spans="2:8" x14ac:dyDescent="0.25">
      <c r="B11" s="3" t="s">
        <v>1</v>
      </c>
      <c r="C11" s="1">
        <v>1250</v>
      </c>
      <c r="F11" s="3" t="s">
        <v>7</v>
      </c>
      <c r="G11" s="5">
        <v>10.75</v>
      </c>
      <c r="H11" s="6" t="s">
        <v>8</v>
      </c>
    </row>
    <row r="12" spans="2:8" x14ac:dyDescent="0.25">
      <c r="B12" s="3" t="s">
        <v>4</v>
      </c>
      <c r="C12" s="1">
        <v>60</v>
      </c>
      <c r="F12" s="3" t="s">
        <v>9</v>
      </c>
      <c r="G12" s="5">
        <f>IF(G11="","",(G11-0.1)*(G10/100))</f>
        <v>10.65</v>
      </c>
      <c r="H12" s="6" t="s">
        <v>8</v>
      </c>
    </row>
    <row r="13" spans="2:8" x14ac:dyDescent="0.25">
      <c r="G13" t="s">
        <v>0</v>
      </c>
    </row>
    <row r="15" spans="2:8" ht="15.75" customHeight="1" x14ac:dyDescent="0.25">
      <c r="B15" s="7" t="s">
        <v>10</v>
      </c>
      <c r="C15" s="7"/>
      <c r="F15" s="10" t="s">
        <v>16</v>
      </c>
      <c r="G15" s="10"/>
      <c r="H15" s="10"/>
    </row>
    <row r="16" spans="2:8" ht="15" customHeight="1" x14ac:dyDescent="0.25">
      <c r="B16" s="3" t="s">
        <v>11</v>
      </c>
      <c r="C16" s="12">
        <f>(1+(G12/100))^(1/252)-1</f>
        <v>4.0167541389757311E-4</v>
      </c>
      <c r="F16" s="10"/>
      <c r="G16" s="10"/>
      <c r="H16" s="10"/>
    </row>
    <row r="17" spans="2:8" ht="15" customHeight="1" x14ac:dyDescent="0.25">
      <c r="B17" s="3" t="s">
        <v>15</v>
      </c>
      <c r="C17" s="1">
        <f>(1+(G12/100))^(1/12)-1</f>
        <v>8.4691521009379045E-3</v>
      </c>
      <c r="F17" s="11">
        <f>SUM(C19:C20)</f>
        <v>105507.70915864297</v>
      </c>
      <c r="G17" s="11"/>
      <c r="H17" s="11"/>
    </row>
    <row r="18" spans="2:8" ht="15" customHeight="1" x14ac:dyDescent="0.25">
      <c r="B18" s="3" t="s">
        <v>12</v>
      </c>
      <c r="C18" s="1">
        <f xml:space="preserve"> C12*21</f>
        <v>1260</v>
      </c>
      <c r="F18" s="11"/>
      <c r="G18" s="11"/>
      <c r="H18" s="11"/>
    </row>
    <row r="19" spans="2:8" x14ac:dyDescent="0.25">
      <c r="B19" s="3" t="s">
        <v>13</v>
      </c>
      <c r="C19" s="13">
        <f>C10*(1+C16)^C18</f>
        <v>8293.2946514607193</v>
      </c>
      <c r="G19" s="9"/>
    </row>
    <row r="20" spans="2:8" x14ac:dyDescent="0.25">
      <c r="B20" s="3" t="s">
        <v>14</v>
      </c>
      <c r="C20" s="2">
        <f>C11*((1+C17)^C12-1)/C17</f>
        <v>97214.414507182257</v>
      </c>
      <c r="G20" s="9"/>
    </row>
    <row r="21" spans="2:8" x14ac:dyDescent="0.25">
      <c r="C21" t="s">
        <v>0</v>
      </c>
      <c r="E21" t="s">
        <v>0</v>
      </c>
    </row>
    <row r="22" spans="2:8" x14ac:dyDescent="0.25">
      <c r="B22" s="14" t="s">
        <v>17</v>
      </c>
      <c r="C22" s="14"/>
      <c r="D22" s="14"/>
      <c r="E22" s="14"/>
      <c r="F22" s="14"/>
      <c r="G22" s="14"/>
    </row>
    <row r="23" spans="2:8" x14ac:dyDescent="0.25">
      <c r="B23" s="14"/>
      <c r="C23" s="14"/>
      <c r="D23" s="14"/>
      <c r="E23" s="14"/>
      <c r="F23" s="14"/>
      <c r="G23" s="14"/>
    </row>
  </sheetData>
  <mergeCells count="6">
    <mergeCell ref="B22:G23"/>
    <mergeCell ref="F15:H16"/>
    <mergeCell ref="F17:H18"/>
    <mergeCell ref="B9:C9"/>
    <mergeCell ref="F9:G9"/>
    <mergeCell ref="B15:C1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Rodrigo</cp:lastModifiedBy>
  <dcterms:created xsi:type="dcterms:W3CDTF">2026-02-27T00:19:31Z</dcterms:created>
  <dcterms:modified xsi:type="dcterms:W3CDTF">2026-02-27T01:59:30Z</dcterms:modified>
</cp:coreProperties>
</file>